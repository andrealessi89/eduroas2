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BBE63BF-6086-4D3D-806B-9CF70C2D96BD}" xr6:coauthVersionLast="47" xr6:coauthVersionMax="47" xr10:uidLastSave="{00000000-0000-0000-0000-000000000000}"/>
  <bookViews>
    <workbookView xWindow="-120" yWindow="-120" windowWidth="29040" windowHeight="15840" xr2:uid="{5112DDFF-C367-4C47-ADD7-FFF51B292B8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5" i="1" l="1"/>
  <c r="C15" i="1"/>
  <c r="D15" i="1"/>
  <c r="E15" i="1"/>
  <c r="F15" i="1"/>
  <c r="G15" i="1"/>
  <c r="H15" i="1"/>
  <c r="I15" i="1"/>
  <c r="C14" i="1"/>
  <c r="D14" i="1"/>
  <c r="E14" i="1"/>
  <c r="F14" i="1"/>
  <c r="G14" i="1"/>
  <c r="H14" i="1"/>
  <c r="I14" i="1"/>
  <c r="O3" i="1"/>
  <c r="I19" i="1"/>
  <c r="I18" i="1"/>
  <c r="I17" i="1"/>
  <c r="I21" i="1" s="1"/>
  <c r="I13" i="1"/>
  <c r="I20" i="1" s="1"/>
  <c r="B13" i="1"/>
  <c r="B24" i="1" s="1"/>
  <c r="C13" i="1"/>
  <c r="C24" i="1" s="1"/>
  <c r="D13" i="1"/>
  <c r="D24" i="1" s="1"/>
  <c r="E13" i="1"/>
  <c r="E23" i="1" s="1"/>
  <c r="F13" i="1"/>
  <c r="G13" i="1"/>
  <c r="H13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H22" i="1" s="1"/>
  <c r="G17" i="1"/>
  <c r="G22" i="1" s="1"/>
  <c r="F17" i="1"/>
  <c r="F22" i="1" s="1"/>
  <c r="E17" i="1"/>
  <c r="E22" i="1" s="1"/>
  <c r="D17" i="1"/>
  <c r="D22" i="1" s="1"/>
  <c r="C17" i="1"/>
  <c r="C22" i="1" s="1"/>
  <c r="B17" i="1"/>
  <c r="B22" i="1" s="1"/>
  <c r="G23" i="1"/>
  <c r="B11" i="1"/>
  <c r="B14" i="1" s="1"/>
  <c r="F26" i="1" l="1"/>
  <c r="F28" i="1" s="1"/>
  <c r="D26" i="1"/>
  <c r="D28" i="1" s="1"/>
  <c r="I24" i="1"/>
  <c r="F23" i="1"/>
  <c r="I26" i="1"/>
  <c r="I30" i="1" s="1"/>
  <c r="C26" i="1"/>
  <c r="C28" i="1" s="1"/>
  <c r="B26" i="1"/>
  <c r="B28" i="1" s="1"/>
  <c r="I23" i="1"/>
  <c r="H26" i="1"/>
  <c r="G26" i="1"/>
  <c r="I16" i="1"/>
  <c r="E26" i="1"/>
  <c r="E20" i="1"/>
  <c r="E16" i="1"/>
  <c r="E30" i="1" s="1"/>
  <c r="E24" i="1"/>
  <c r="B21" i="1"/>
  <c r="F16" i="1"/>
  <c r="F30" i="1" s="1"/>
  <c r="F20" i="1"/>
  <c r="C21" i="1"/>
  <c r="I22" i="1"/>
  <c r="F24" i="1"/>
  <c r="G16" i="1"/>
  <c r="G30" i="1" s="1"/>
  <c r="G20" i="1"/>
  <c r="D21" i="1"/>
  <c r="G24" i="1"/>
  <c r="H16" i="1"/>
  <c r="H30" i="1" s="1"/>
  <c r="H20" i="1"/>
  <c r="E21" i="1"/>
  <c r="H24" i="1"/>
  <c r="F21" i="1"/>
  <c r="G21" i="1"/>
  <c r="H23" i="1"/>
  <c r="H21" i="1"/>
  <c r="B23" i="1"/>
  <c r="C23" i="1"/>
  <c r="D23" i="1"/>
  <c r="B16" i="1"/>
  <c r="B30" i="1" s="1"/>
  <c r="B20" i="1"/>
  <c r="C16" i="1"/>
  <c r="C30" i="1" s="1"/>
  <c r="C20" i="1"/>
  <c r="D16" i="1"/>
  <c r="D30" i="1" s="1"/>
  <c r="D20" i="1"/>
  <c r="B27" i="1" l="1"/>
  <c r="B31" i="1"/>
  <c r="B32" i="1"/>
  <c r="E31" i="1"/>
  <c r="E32" i="1"/>
  <c r="F31" i="1"/>
  <c r="F32" i="1"/>
  <c r="H31" i="1"/>
  <c r="H32" i="1"/>
  <c r="G31" i="1"/>
  <c r="G32" i="1"/>
  <c r="D31" i="1"/>
  <c r="D32" i="1"/>
  <c r="C31" i="1"/>
  <c r="C32" i="1"/>
  <c r="I32" i="1"/>
  <c r="I31" i="1"/>
  <c r="F27" i="1"/>
  <c r="C27" i="1"/>
  <c r="D27" i="1"/>
  <c r="I27" i="1"/>
  <c r="I28" i="1"/>
  <c r="H27" i="1"/>
  <c r="H28" i="1"/>
  <c r="E27" i="1"/>
  <c r="E28" i="1"/>
  <c r="G27" i="1"/>
  <c r="G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Edu Cristian Neuber Reis</author>
  </authors>
  <commentList>
    <comment ref="A2" authorId="0" shapeId="0" xr:uid="{48A605EB-1569-45F5-B319-ADA88F5F77FB}">
      <text>
        <r>
          <rPr>
            <sz val="10"/>
            <color rgb="FF000000"/>
            <rFont val="Calibri"/>
            <family val="2"/>
          </rPr>
          <t>Total de pedidos realizados no mês, pagos ou não</t>
        </r>
      </text>
    </comment>
    <comment ref="A4" authorId="0" shapeId="0" xr:uid="{5041973A-9EC8-4E2B-9C09-B40B04BE1FCD}">
      <text>
        <r>
          <rPr>
            <sz val="10"/>
            <color rgb="FF000000"/>
            <rFont val="Calibri"/>
            <family val="2"/>
          </rPr>
          <t>Total de pedidos pagos no mês</t>
        </r>
      </text>
    </comment>
    <comment ref="A10" authorId="0" shapeId="0" xr:uid="{F505FE0B-A6BD-431E-ACF9-F3855BF5B573}">
      <text>
        <r>
          <rPr>
            <sz val="10"/>
            <color rgb="FF000000"/>
            <rFont val="Calibri"/>
            <family val="2"/>
          </rPr>
          <t>Usuarios Únicos no Google Analytics</t>
        </r>
      </text>
    </comment>
    <comment ref="A17" authorId="0" shapeId="0" xr:uid="{742E0F62-EBE5-47E3-AED8-D835DB5A6091}">
      <text>
        <r>
          <rPr>
            <sz val="10"/>
            <color rgb="FF000000"/>
            <rFont val="Calibri"/>
            <family val="2"/>
          </rPr>
          <t xml:space="preserve">É o percentual da diferença entre o Não Pago e Pago.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Calculo: (Pedidos Não Pagos/Pedidos Pagos)-1</t>
        </r>
      </text>
    </comment>
    <comment ref="A18" authorId="0" shapeId="0" xr:uid="{1C8160C9-ADA2-4E74-B7B3-664F22F07E0F}">
      <text>
        <r>
          <rPr>
            <sz val="10"/>
            <color rgb="FF000000"/>
            <rFont val="Calibri"/>
            <family val="2"/>
          </rPr>
          <t xml:space="preserve">É média que seu cliente compra na sua loja virtual
</t>
        </r>
        <r>
          <rPr>
            <sz val="10"/>
            <color rgb="FF000000"/>
            <rFont val="Calibri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>Formula: Faturamento total/Pedidos pagos</t>
        </r>
      </text>
    </comment>
    <comment ref="A19" authorId="0" shapeId="0" xr:uid="{32029C44-8CA7-4CB8-B700-1CA5EC35B460}">
      <text>
        <r>
          <rPr>
            <sz val="10"/>
            <color rgb="FF000000"/>
            <rFont val="Calibri"/>
            <family val="2"/>
            <scheme val="minor"/>
          </rPr>
          <t>É taxa em % dos pedidos pagos
gerados pelos visitantes que sua loja virtual.
Calculo: Pedidos Pagos / Visitantes</t>
        </r>
      </text>
    </comment>
    <comment ref="A23" authorId="1" shapeId="0" xr:uid="{2A5740E6-94E4-4EB5-9934-8937AE34F5DD}">
      <text>
        <r>
          <rPr>
            <b/>
            <sz val="10"/>
            <color rgb="FF000000"/>
            <rFont val="Calibri"/>
            <family val="2"/>
            <scheme val="minor"/>
          </rPr>
          <t>Custo Por Aquisição</t>
        </r>
        <r>
          <rPr>
            <sz val="10"/>
            <color rgb="FF000000"/>
            <rFont val="Calibri"/>
            <family val="2"/>
            <scheme val="minor"/>
          </rPr>
          <t xml:space="preserve"> </t>
        </r>
      </text>
    </comment>
    <comment ref="A24" authorId="1" shapeId="0" xr:uid="{D0D60D17-02ED-4816-BC1E-D16D57A6B3D5}">
      <text>
        <r>
          <rPr>
            <b/>
            <sz val="10"/>
            <color rgb="FF000000"/>
            <rFont val="Tahoma"/>
            <family val="2"/>
          </rPr>
          <t>Custo Por Sessão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A26" authorId="1" shapeId="0" xr:uid="{12289FD0-F792-4142-867D-EF978C363AF5}">
      <text>
        <r>
          <rPr>
            <b/>
            <sz val="10"/>
            <color rgb="FF000000"/>
            <rFont val="Tahoma"/>
            <family val="2"/>
          </rPr>
          <t>NESSA FORMULA ESTO
DESCONTANDO A+:
- 2% Maga.
- 6% Pagamentos.
- 9,5% Impostos.</t>
        </r>
      </text>
    </comment>
    <comment ref="A30" authorId="1" shapeId="0" xr:uid="{9B81428D-F6A4-4839-AFCD-19CBD5FD49B6}">
      <text>
        <r>
          <rPr>
            <b/>
            <sz val="10"/>
            <color rgb="FF000000"/>
            <rFont val="Tahoma"/>
            <family val="2"/>
          </rPr>
          <t>NESSA FORMULA ESTO
DESCONTANDO A+:
- 2% Maga.
- 6% Pagamentos.
- 9,5% Impostos.</t>
        </r>
      </text>
    </comment>
  </commentList>
</comments>
</file>

<file path=xl/sharedStrings.xml><?xml version="1.0" encoding="utf-8"?>
<sst xmlns="http://schemas.openxmlformats.org/spreadsheetml/2006/main" count="35" uniqueCount="35">
  <si>
    <t>Pedidos</t>
  </si>
  <si>
    <t>Pedidos R$</t>
  </si>
  <si>
    <t>Pedidos Pagos</t>
  </si>
  <si>
    <t>Pedidos Pagos R$</t>
  </si>
  <si>
    <t>Vendas FaceBook</t>
  </si>
  <si>
    <t>Vendas Google</t>
  </si>
  <si>
    <t>Sessões</t>
  </si>
  <si>
    <t>Custo de produtos</t>
  </si>
  <si>
    <t>Custo de Frete</t>
  </si>
  <si>
    <t>Investimento anúncios</t>
  </si>
  <si>
    <t>% de Investimento anúncios</t>
  </si>
  <si>
    <t>Diferença Pagos e N Pagos</t>
  </si>
  <si>
    <t>Ticket medio</t>
  </si>
  <si>
    <t>Taxa Conversão Real</t>
  </si>
  <si>
    <t>ROAS GERAL REAL</t>
  </si>
  <si>
    <t>ROAS FACEBOOK</t>
  </si>
  <si>
    <t>ROAS GOOGLE</t>
  </si>
  <si>
    <t>CPA</t>
  </si>
  <si>
    <t>CPS</t>
  </si>
  <si>
    <t>Investimento Facebook Ads</t>
  </si>
  <si>
    <t>Investimento Google Ads</t>
  </si>
  <si>
    <t>Taxas Para Calculos=&gt;</t>
  </si>
  <si>
    <t>Magazord</t>
  </si>
  <si>
    <t>Pagamentos</t>
  </si>
  <si>
    <t>Impostos</t>
  </si>
  <si>
    <t>MKUP</t>
  </si>
  <si>
    <t>Custos Fixos Empresa</t>
  </si>
  <si>
    <t>% Lucro Liquido</t>
  </si>
  <si>
    <t>% Custo de produtos</t>
  </si>
  <si>
    <t>% Custo de Frete</t>
  </si>
  <si>
    <t>Contribuição da Venda</t>
  </si>
  <si>
    <t>% De Contribuição</t>
  </si>
  <si>
    <t>ROI Da Venda</t>
  </si>
  <si>
    <t>Lucro Liquido Empresa</t>
  </si>
  <si>
    <t>ROI Liquido Da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</si>
</sst>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yyyy"/>
    <numFmt numFmtId="165" formatCode="[$R$]#,##0.00"/>
    <numFmt numFmtId="166" formatCode="&quot;R$&quot;\ #,##0.00"/>
    <numFmt numFmtId="167" formatCode="[$R$ -416]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0"/>
      <name val="Calibri"/>
      <family val="2"/>
    </font>
    <font>
      <b/>
      <i/>
      <sz val="10"/>
      <color rgb="FFFFFFFF"/>
      <name val="Roboto"/>
    </font>
    <font>
      <b/>
      <sz val="12"/>
      <color theme="1"/>
      <name val="Roboto"/>
    </font>
    <font>
      <sz val="10"/>
      <name val="Roboto"/>
    </font>
    <font>
      <sz val="10"/>
      <color rgb="FF00B050"/>
      <name val="Roboto"/>
    </font>
    <font>
      <b/>
      <sz val="10"/>
      <color rgb="FFC00000"/>
      <name val="Roboto"/>
    </font>
    <font>
      <b/>
      <sz val="10"/>
      <color theme="7" tint="-0.249977111117893"/>
      <name val="Roboto"/>
    </font>
    <font>
      <b/>
      <sz val="12"/>
      <color rgb="FFC00000"/>
      <name val="Roboto"/>
    </font>
    <font>
      <sz val="12"/>
      <color rgb="FFC00000"/>
      <name val="Calibri"/>
      <family val="2"/>
      <scheme val="minor"/>
    </font>
    <font>
      <b/>
      <sz val="10"/>
      <color rgb="FF000000"/>
      <name val="Roboto"/>
    </font>
    <font>
      <b/>
      <sz val="10"/>
      <color theme="1"/>
      <name val="Roboto"/>
    </font>
    <font>
      <sz val="10"/>
      <color theme="1"/>
      <name val="Roboto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2"/>
      <color theme="1"/>
      <name val="Calibri"/>
      <family val="2"/>
      <scheme val="minor"/>
    </font>
    <font>
      <b/>
      <sz val="10"/>
      <color rgb="FF7030A0"/>
      <name val="Roboto"/>
    </font>
    <font>
      <b/>
      <sz val="10"/>
      <color rgb="FFFFFF00"/>
      <name val="Roboto"/>
    </font>
    <font>
      <b/>
      <sz val="12"/>
      <color rgb="FF7030A0"/>
      <name val="Roboto"/>
    </font>
    <font>
      <b/>
      <sz val="12"/>
      <color theme="7" tint="-0.249977111117893"/>
      <name val="Roboto"/>
    </font>
    <font>
      <b/>
      <sz val="11"/>
      <color theme="1"/>
      <name val="Roboto"/>
    </font>
  </fonts>
  <fills count="2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rgb="FFA4C2F4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9" tint="0.79998168889431442"/>
        <bgColor rgb="FFA4C2F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0" tint="-0.249977111117893"/>
        <bgColor rgb="FFA4C2F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rgb="FFD9D9D9"/>
      </patternFill>
    </fill>
    <fill>
      <patternFill patternType="solid">
        <fgColor theme="0" tint="-0.249977111117893"/>
        <bgColor rgb="FFF3F3F3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4.9989318521683403E-2"/>
        <bgColor rgb="FFF3F3F3"/>
      </patternFill>
    </fill>
    <fill>
      <patternFill patternType="solid">
        <fgColor theme="4" tint="0.59999389629810485"/>
        <bgColor rgb="FFD9D9D9"/>
      </patternFill>
    </fill>
    <fill>
      <patternFill patternType="solid">
        <fgColor rgb="FFB5C6E7"/>
        <bgColor rgb="FFF3F3F3"/>
      </patternFill>
    </fill>
    <fill>
      <patternFill patternType="solid">
        <fgColor theme="9" tint="0.79998168889431442"/>
        <bgColor rgb="FFD9D9D9"/>
      </patternFill>
    </fill>
    <fill>
      <patternFill patternType="solid">
        <fgColor rgb="FFE2EFDB"/>
        <bgColor rgb="FFF3F3F3"/>
      </patternFill>
    </fill>
    <fill>
      <patternFill patternType="solid">
        <fgColor rgb="FFFFFF00"/>
        <bgColor rgb="FFD9D9D9"/>
      </patternFill>
    </fill>
    <fill>
      <patternFill patternType="solid">
        <fgColor rgb="FFFFFF00"/>
        <bgColor rgb="FFF3F3F3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8">
    <xf numFmtId="0" fontId="0" fillId="0" borderId="0" xfId="0"/>
    <xf numFmtId="0" fontId="3" fillId="0" borderId="1" xfId="2" applyFont="1" applyBorder="1" applyAlignment="1" applyProtection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3" borderId="0" xfId="0" applyFill="1"/>
    <xf numFmtId="0" fontId="5" fillId="4" borderId="1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 applyProtection="1">
      <alignment horizontal="center" vertical="center"/>
      <protection locked="0"/>
    </xf>
    <xf numFmtId="165" fontId="6" fillId="5" borderId="1" xfId="0" applyNumberFormat="1" applyFont="1" applyFill="1" applyBorder="1" applyAlignment="1" applyProtection="1">
      <alignment horizontal="center" vertical="center"/>
      <protection locked="0"/>
    </xf>
    <xf numFmtId="3" fontId="7" fillId="5" borderId="1" xfId="0" applyNumberFormat="1" applyFont="1" applyFill="1" applyBorder="1" applyAlignment="1" applyProtection="1">
      <alignment horizontal="center" vertical="center"/>
      <protection locked="0"/>
    </xf>
    <xf numFmtId="165" fontId="7" fillId="5" borderId="1" xfId="0" applyNumberFormat="1" applyFont="1" applyFill="1" applyBorder="1" applyAlignment="1" applyProtection="1">
      <alignment horizontal="center" vertical="center"/>
      <protection locked="0"/>
    </xf>
    <xf numFmtId="0" fontId="5" fillId="6" borderId="1" xfId="0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 applyProtection="1">
      <alignment horizontal="center" vertical="center"/>
      <protection locked="0"/>
    </xf>
    <xf numFmtId="0" fontId="5" fillId="8" borderId="1" xfId="0" applyFont="1" applyFill="1" applyBorder="1" applyAlignment="1">
      <alignment horizontal="center" vertical="center"/>
    </xf>
    <xf numFmtId="165" fontId="6" fillId="9" borderId="1" xfId="0" applyNumberFormat="1" applyFont="1" applyFill="1" applyBorder="1" applyAlignment="1" applyProtection="1">
      <alignment horizontal="center" vertical="center"/>
      <protection locked="0"/>
    </xf>
    <xf numFmtId="0" fontId="10" fillId="10" borderId="1" xfId="0" applyFont="1" applyFill="1" applyBorder="1" applyAlignment="1">
      <alignment horizontal="center" vertical="center"/>
    </xf>
    <xf numFmtId="165" fontId="8" fillId="11" borderId="1" xfId="0" applyNumberFormat="1" applyFont="1" applyFill="1" applyBorder="1" applyAlignment="1">
      <alignment horizontal="center" vertical="center"/>
    </xf>
    <xf numFmtId="0" fontId="11" fillId="3" borderId="0" xfId="0" applyFont="1" applyFill="1"/>
    <xf numFmtId="0" fontId="5" fillId="12" borderId="1" xfId="0" applyFont="1" applyFill="1" applyBorder="1" applyAlignment="1">
      <alignment horizontal="center" vertical="center"/>
    </xf>
    <xf numFmtId="10" fontId="12" fillId="13" borderId="1" xfId="0" applyNumberFormat="1" applyFont="1" applyFill="1" applyBorder="1" applyAlignment="1">
      <alignment horizontal="center" vertical="center"/>
    </xf>
    <xf numFmtId="167" fontId="13" fillId="13" borderId="1" xfId="0" applyNumberFormat="1" applyFont="1" applyFill="1" applyBorder="1" applyAlignment="1">
      <alignment horizontal="center" vertical="center"/>
    </xf>
    <xf numFmtId="10" fontId="13" fillId="13" borderId="1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167" fontId="13" fillId="15" borderId="1" xfId="0" applyNumberFormat="1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167" fontId="13" fillId="17" borderId="1" xfId="0" applyNumberFormat="1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167" fontId="13" fillId="19" borderId="1" xfId="0" applyNumberFormat="1" applyFont="1" applyFill="1" applyBorder="1" applyAlignment="1">
      <alignment horizontal="center" vertical="center"/>
    </xf>
    <xf numFmtId="10" fontId="13" fillId="13" borderId="1" xfId="1" applyNumberFormat="1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10" fontId="13" fillId="21" borderId="1" xfId="1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20" fillId="22" borderId="0" xfId="0" applyFont="1" applyFill="1" applyAlignment="1">
      <alignment horizontal="center" vertical="center" wrapText="1"/>
    </xf>
    <xf numFmtId="0" fontId="20" fillId="22" borderId="0" xfId="0" applyFont="1" applyFill="1" applyAlignment="1">
      <alignment horizontal="center" vertical="center"/>
    </xf>
    <xf numFmtId="0" fontId="13" fillId="22" borderId="0" xfId="0" applyFon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14" fillId="22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6" fontId="0" fillId="23" borderId="1" xfId="0" applyNumberFormat="1" applyFill="1" applyBorder="1" applyAlignment="1">
      <alignment horizontal="center" vertical="center"/>
    </xf>
    <xf numFmtId="166" fontId="21" fillId="5" borderId="1" xfId="0" applyNumberFormat="1" applyFont="1" applyFill="1" applyBorder="1" applyAlignment="1" applyProtection="1">
      <alignment horizontal="center" vertical="center"/>
      <protection locked="0"/>
    </xf>
    <xf numFmtId="166" fontId="9" fillId="5" borderId="1" xfId="0" applyNumberFormat="1" applyFont="1" applyFill="1" applyBorder="1" applyAlignment="1" applyProtection="1">
      <alignment horizontal="center" vertical="center"/>
      <protection locked="0"/>
    </xf>
    <xf numFmtId="10" fontId="21" fillId="11" borderId="1" xfId="0" applyNumberFormat="1" applyFont="1" applyFill="1" applyBorder="1" applyAlignment="1">
      <alignment horizontal="center" vertical="center"/>
    </xf>
    <xf numFmtId="10" fontId="22" fillId="11" borderId="1" xfId="0" applyNumberFormat="1" applyFont="1" applyFill="1" applyBorder="1" applyAlignment="1">
      <alignment horizontal="center" vertical="center"/>
    </xf>
    <xf numFmtId="10" fontId="8" fillId="13" borderId="1" xfId="0" applyNumberFormat="1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 vertical="center"/>
    </xf>
    <xf numFmtId="0" fontId="24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167" fontId="25" fillId="13" borderId="1" xfId="0" applyNumberFormat="1" applyFont="1" applyFill="1" applyBorder="1" applyAlignment="1">
      <alignment horizontal="center" vertical="center"/>
    </xf>
    <xf numFmtId="10" fontId="5" fillId="13" borderId="1" xfId="1" applyNumberFormat="1" applyFont="1" applyFill="1" applyBorder="1" applyAlignment="1">
      <alignment horizontal="center" vertical="center"/>
    </xf>
  </cellXfs>
  <cellStyles count="3">
    <cellStyle name="Hiperlink" xfId="2" builtinId="8"/>
    <cellStyle name="Normal" xfId="0" builtinId="0"/>
    <cellStyle name="Porcentagem" xfId="1" builtinId="5"/>
  </cellStyles>
  <dxfs count="18"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FFFFFF"/>
      </font>
      <fill>
        <patternFill patternType="solid">
          <fgColor rgb="FFFF0000"/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FFFFFF"/>
      </font>
      <fill>
        <patternFill patternType="solid">
          <fgColor rgb="FFFF0000"/>
          <bgColor rgb="FFC0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B21C7-ED77-4959-9A72-DBB7F479AFF6}">
  <dimension ref="A1:O983"/>
  <sheetViews>
    <sheetView tabSelected="1" topLeftCell="A7" zoomScaleNormal="100" workbookViewId="0">
      <selection activeCell="J13" sqref="J13"/>
    </sheetView>
  </sheetViews>
  <sheetFormatPr defaultColWidth="13.7109375" defaultRowHeight="15" x14ac:dyDescent="0.25"/>
  <cols>
    <col min="1" max="1" width="30.7109375" style="29" bestFit="1" customWidth="1"/>
    <col min="2" max="3" width="17.28515625" style="3" customWidth="1"/>
    <col min="4" max="4" width="16.7109375" style="3" bestFit="1" customWidth="1"/>
    <col min="5" max="5" width="15.7109375" style="3" bestFit="1" customWidth="1"/>
    <col min="6" max="6" width="16" style="3" bestFit="1" customWidth="1"/>
    <col min="7" max="8" width="16.7109375" style="3" bestFit="1" customWidth="1"/>
    <col min="9" max="9" width="15.7109375" style="3" bestFit="1" customWidth="1"/>
    <col min="10" max="16384" width="13.7109375" style="3"/>
  </cols>
  <sheetData>
    <row r="1" spans="1:15" ht="42" customHeight="1" x14ac:dyDescent="0.25">
      <c r="A1" s="1"/>
      <c r="B1" s="2">
        <v>45505</v>
      </c>
      <c r="C1" s="2">
        <v>45536</v>
      </c>
      <c r="D1" s="2">
        <v>45566</v>
      </c>
      <c r="E1" s="2">
        <v>45597</v>
      </c>
      <c r="F1" s="2">
        <v>45627</v>
      </c>
      <c r="G1" s="2">
        <v>45658</v>
      </c>
      <c r="H1" s="2">
        <v>45689</v>
      </c>
      <c r="I1" s="2">
        <v>45717</v>
      </c>
    </row>
    <row r="2" spans="1:15" ht="21.95" customHeight="1" x14ac:dyDescent="0.25">
      <c r="A2" s="4" t="s">
        <v>0</v>
      </c>
      <c r="B2" s="5">
        <v>2717</v>
      </c>
      <c r="C2" s="5">
        <v>2909</v>
      </c>
      <c r="D2" s="5">
        <v>4056</v>
      </c>
      <c r="E2" s="5">
        <v>4929</v>
      </c>
      <c r="F2" s="5">
        <v>4192</v>
      </c>
      <c r="G2" s="5">
        <v>4003</v>
      </c>
      <c r="H2" s="5">
        <v>6227</v>
      </c>
      <c r="I2" s="5">
        <v>6300</v>
      </c>
      <c r="K2" s="31" t="s">
        <v>21</v>
      </c>
      <c r="L2" s="32" t="s">
        <v>22</v>
      </c>
      <c r="M2" s="32" t="s">
        <v>23</v>
      </c>
      <c r="N2" s="32" t="s">
        <v>24</v>
      </c>
      <c r="O2" s="33" t="s">
        <v>25</v>
      </c>
    </row>
    <row r="3" spans="1:15" ht="21.95" customHeight="1" x14ac:dyDescent="0.25">
      <c r="A3" s="4" t="s">
        <v>1</v>
      </c>
      <c r="B3" s="6">
        <v>430303.58</v>
      </c>
      <c r="C3" s="6">
        <v>453154.64999999799</v>
      </c>
      <c r="D3" s="6">
        <v>680461.79000000702</v>
      </c>
      <c r="E3" s="6">
        <v>868713.22</v>
      </c>
      <c r="F3" s="6">
        <v>702593.63</v>
      </c>
      <c r="G3" s="6">
        <v>678823.69</v>
      </c>
      <c r="H3" s="6">
        <v>1129479.46</v>
      </c>
      <c r="I3" s="6">
        <v>993301.87</v>
      </c>
      <c r="K3" s="31"/>
      <c r="L3" s="34">
        <v>1.7999999999999999E-2</v>
      </c>
      <c r="M3" s="34">
        <v>0.06</v>
      </c>
      <c r="N3" s="34">
        <v>4.9000000000000002E-2</v>
      </c>
      <c r="O3" s="35">
        <f>SUM(L3:N3)</f>
        <v>0.127</v>
      </c>
    </row>
    <row r="4" spans="1:15" ht="21.95" customHeight="1" x14ac:dyDescent="0.25">
      <c r="A4" s="4" t="s">
        <v>2</v>
      </c>
      <c r="B4" s="7">
        <v>2116</v>
      </c>
      <c r="C4" s="7">
        <v>2266</v>
      </c>
      <c r="D4" s="7">
        <v>3336</v>
      </c>
      <c r="E4" s="7">
        <v>4103</v>
      </c>
      <c r="F4" s="7">
        <v>3507</v>
      </c>
      <c r="G4" s="7">
        <v>3371</v>
      </c>
      <c r="H4" s="7">
        <v>5140</v>
      </c>
      <c r="I4" s="7">
        <v>5278</v>
      </c>
      <c r="K4" s="36" t="s">
        <v>26</v>
      </c>
      <c r="L4" s="37">
        <v>15000</v>
      </c>
    </row>
    <row r="5" spans="1:15" ht="21.95" customHeight="1" x14ac:dyDescent="0.25">
      <c r="A5" s="4" t="s">
        <v>3</v>
      </c>
      <c r="B5" s="8">
        <v>335010.07</v>
      </c>
      <c r="C5" s="8">
        <v>348951.84</v>
      </c>
      <c r="D5" s="8">
        <v>544839.99</v>
      </c>
      <c r="E5" s="8">
        <v>713280.37</v>
      </c>
      <c r="F5" s="8">
        <v>578394.76</v>
      </c>
      <c r="G5" s="8">
        <v>552547.23</v>
      </c>
      <c r="H5" s="8">
        <v>875464.12</v>
      </c>
      <c r="I5" s="8">
        <v>790794.29</v>
      </c>
      <c r="K5" s="36"/>
      <c r="L5" s="37"/>
    </row>
    <row r="6" spans="1:15" ht="21.95" customHeight="1" x14ac:dyDescent="0.25">
      <c r="A6" s="9" t="s">
        <v>19</v>
      </c>
      <c r="B6" s="10">
        <v>33012.400000000001</v>
      </c>
      <c r="C6" s="10">
        <v>46731.79</v>
      </c>
      <c r="D6" s="10">
        <v>87263.15</v>
      </c>
      <c r="E6" s="10">
        <v>95699.25</v>
      </c>
      <c r="F6" s="10">
        <v>93726.71</v>
      </c>
      <c r="G6" s="10">
        <v>125314.41</v>
      </c>
      <c r="H6" s="10">
        <v>125374.61</v>
      </c>
      <c r="I6" s="10">
        <v>119544.42</v>
      </c>
    </row>
    <row r="7" spans="1:15" ht="21.95" customHeight="1" x14ac:dyDescent="0.25">
      <c r="A7" s="9" t="s">
        <v>4</v>
      </c>
      <c r="B7" s="10">
        <v>326029.75</v>
      </c>
      <c r="C7" s="10">
        <v>460649.76</v>
      </c>
      <c r="D7" s="10">
        <v>664460.72</v>
      </c>
      <c r="E7" s="10">
        <v>659012.77</v>
      </c>
      <c r="F7" s="10">
        <v>544612.54</v>
      </c>
      <c r="G7" s="10">
        <v>504792.57</v>
      </c>
      <c r="H7" s="10">
        <v>864709.47</v>
      </c>
      <c r="I7" s="10">
        <v>644284.57999999996</v>
      </c>
    </row>
    <row r="8" spans="1:15" ht="21.95" customHeight="1" x14ac:dyDescent="0.25">
      <c r="A8" s="11" t="s">
        <v>20</v>
      </c>
      <c r="B8" s="12">
        <v>3622.08</v>
      </c>
      <c r="C8" s="12">
        <v>3747.66</v>
      </c>
      <c r="D8" s="12">
        <v>5922.75</v>
      </c>
      <c r="E8" s="12">
        <v>14530.73</v>
      </c>
      <c r="F8" s="12">
        <v>11481.69</v>
      </c>
      <c r="G8" s="12">
        <v>7606.68</v>
      </c>
      <c r="H8" s="12">
        <v>9777.4</v>
      </c>
      <c r="I8" s="12">
        <v>19264.96</v>
      </c>
    </row>
    <row r="9" spans="1:15" ht="21.95" customHeight="1" x14ac:dyDescent="0.25">
      <c r="A9" s="11" t="s">
        <v>5</v>
      </c>
      <c r="B9" s="12">
        <v>47045.440000000002</v>
      </c>
      <c r="C9" s="12">
        <v>49987.7</v>
      </c>
      <c r="D9" s="12">
        <v>76570.53</v>
      </c>
      <c r="E9" s="12">
        <v>175091.20000000001</v>
      </c>
      <c r="F9" s="12">
        <v>126036.64</v>
      </c>
      <c r="G9" s="12">
        <v>85734.18</v>
      </c>
      <c r="H9" s="12">
        <v>182374.8</v>
      </c>
      <c r="I9" s="12">
        <v>252283.79</v>
      </c>
    </row>
    <row r="10" spans="1:15" ht="21.95" customHeight="1" x14ac:dyDescent="0.25">
      <c r="A10" s="4" t="s">
        <v>6</v>
      </c>
      <c r="B10" s="5">
        <v>87011</v>
      </c>
      <c r="C10" s="5">
        <v>90260</v>
      </c>
      <c r="D10" s="5">
        <v>154258</v>
      </c>
      <c r="E10" s="5">
        <v>185639</v>
      </c>
      <c r="F10" s="5">
        <v>184875</v>
      </c>
      <c r="G10" s="5">
        <v>195004</v>
      </c>
      <c r="H10" s="5">
        <v>213321</v>
      </c>
      <c r="I10" s="5">
        <v>345341</v>
      </c>
    </row>
    <row r="11" spans="1:15" ht="21.95" customHeight="1" x14ac:dyDescent="0.25">
      <c r="A11" s="43" t="s">
        <v>7</v>
      </c>
      <c r="B11" s="38">
        <f>(B5-B12)/2</f>
        <v>153401.65</v>
      </c>
      <c r="C11" s="38">
        <v>157727.01</v>
      </c>
      <c r="D11" s="38">
        <v>260463.42</v>
      </c>
      <c r="E11" s="38">
        <v>382116.25</v>
      </c>
      <c r="F11" s="38">
        <v>280781.28999999998</v>
      </c>
      <c r="G11" s="38">
        <v>263896.78999999998</v>
      </c>
      <c r="H11" s="38">
        <v>484059.37</v>
      </c>
      <c r="I11" s="38">
        <v>453815.71</v>
      </c>
    </row>
    <row r="12" spans="1:15" ht="21.95" customHeight="1" x14ac:dyDescent="0.25">
      <c r="A12" s="44" t="s">
        <v>8</v>
      </c>
      <c r="B12" s="39">
        <v>28206.77</v>
      </c>
      <c r="C12" s="39">
        <v>30377.51</v>
      </c>
      <c r="D12" s="39">
        <v>44075.38</v>
      </c>
      <c r="E12" s="39">
        <v>56129</v>
      </c>
      <c r="F12" s="39">
        <v>48686.5</v>
      </c>
      <c r="G12" s="39">
        <v>44504.83</v>
      </c>
      <c r="H12" s="39">
        <v>66791.66</v>
      </c>
      <c r="I12" s="39">
        <v>69550.19</v>
      </c>
    </row>
    <row r="13" spans="1:15" s="15" customFormat="1" ht="21.95" customHeight="1" x14ac:dyDescent="0.25">
      <c r="A13" s="13" t="s">
        <v>9</v>
      </c>
      <c r="B13" s="14">
        <f>B6+B8</f>
        <v>36634.480000000003</v>
      </c>
      <c r="C13" s="14">
        <f>C6+C8</f>
        <v>50479.45</v>
      </c>
      <c r="D13" s="14">
        <f>D6+D8</f>
        <v>93185.9</v>
      </c>
      <c r="E13" s="14">
        <f>E6+E8</f>
        <v>110229.98</v>
      </c>
      <c r="F13" s="14">
        <f>F6+F8</f>
        <v>105208.40000000001</v>
      </c>
      <c r="G13" s="14">
        <f>G6+G8</f>
        <v>132921.09</v>
      </c>
      <c r="H13" s="14">
        <f>H6+H8</f>
        <v>135152.01</v>
      </c>
      <c r="I13" s="14">
        <f>I6+I8</f>
        <v>138809.38</v>
      </c>
    </row>
    <row r="14" spans="1:15" ht="21.95" customHeight="1" x14ac:dyDescent="0.25">
      <c r="A14" s="43" t="s">
        <v>28</v>
      </c>
      <c r="B14" s="40">
        <f t="shared" ref="B14:H14" si="0">B11/B5</f>
        <v>0.45790160874865637</v>
      </c>
      <c r="C14" s="40">
        <f t="shared" si="0"/>
        <v>0.45200223045105592</v>
      </c>
      <c r="D14" s="40">
        <f t="shared" si="0"/>
        <v>0.47805488727066459</v>
      </c>
      <c r="E14" s="40">
        <f t="shared" si="0"/>
        <v>0.53571676169918991</v>
      </c>
      <c r="F14" s="40">
        <f t="shared" si="0"/>
        <v>0.48544922848194538</v>
      </c>
      <c r="G14" s="40">
        <f t="shared" si="0"/>
        <v>0.47760042159653932</v>
      </c>
      <c r="H14" s="40">
        <f t="shared" si="0"/>
        <v>0.55291742852922399</v>
      </c>
      <c r="I14" s="40">
        <f>I11/I5</f>
        <v>0.57387327619677175</v>
      </c>
    </row>
    <row r="15" spans="1:15" ht="21.95" customHeight="1" x14ac:dyDescent="0.25">
      <c r="A15" s="44" t="s">
        <v>29</v>
      </c>
      <c r="B15" s="41">
        <f t="shared" ref="B15:H15" si="1">B12/B5</f>
        <v>8.4196782502687154E-2</v>
      </c>
      <c r="C15" s="41">
        <f t="shared" si="1"/>
        <v>8.7053588827615852E-2</v>
      </c>
      <c r="D15" s="41">
        <f t="shared" si="1"/>
        <v>8.0896007651714397E-2</v>
      </c>
      <c r="E15" s="41">
        <f t="shared" si="1"/>
        <v>7.8691356668065884E-2</v>
      </c>
      <c r="F15" s="41">
        <f t="shared" si="1"/>
        <v>8.4175209332809309E-2</v>
      </c>
      <c r="G15" s="41">
        <f t="shared" si="1"/>
        <v>8.0544843198290944E-2</v>
      </c>
      <c r="H15" s="41">
        <f t="shared" si="1"/>
        <v>7.6292858238439287E-2</v>
      </c>
      <c r="I15" s="41">
        <f>I12/I5</f>
        <v>8.7949787801325674E-2</v>
      </c>
    </row>
    <row r="16" spans="1:15" ht="21.95" customHeight="1" x14ac:dyDescent="0.25">
      <c r="A16" s="45" t="s">
        <v>10</v>
      </c>
      <c r="B16" s="42">
        <f>B13/B5</f>
        <v>0.10935336958677094</v>
      </c>
      <c r="C16" s="42">
        <f>C13/C5</f>
        <v>0.14466022016103997</v>
      </c>
      <c r="D16" s="42">
        <f>D13/D5</f>
        <v>0.17103351756540483</v>
      </c>
      <c r="E16" s="42">
        <f>E13/E5</f>
        <v>0.15453948354137378</v>
      </c>
      <c r="F16" s="42">
        <f>F13/F5</f>
        <v>0.18189722189046112</v>
      </c>
      <c r="G16" s="42">
        <f>G13/G5</f>
        <v>0.24056059425001552</v>
      </c>
      <c r="H16" s="42">
        <f>H13/H5</f>
        <v>0.15437755461640165</v>
      </c>
      <c r="I16" s="42">
        <f>I13/I5</f>
        <v>0.17553159115501454</v>
      </c>
    </row>
    <row r="17" spans="1:10" ht="21.95" customHeight="1" x14ac:dyDescent="0.25">
      <c r="A17" s="16" t="s">
        <v>11</v>
      </c>
      <c r="B17" s="17">
        <f>1-(B4/B2)</f>
        <v>0.22119985277880017</v>
      </c>
      <c r="C17" s="17">
        <f>1-(C4/C2)</f>
        <v>0.22103815744242006</v>
      </c>
      <c r="D17" s="17">
        <f>1-(D4/D2)</f>
        <v>0.1775147928994083</v>
      </c>
      <c r="E17" s="17">
        <f>1-(E4/E2)</f>
        <v>0.16757963075674576</v>
      </c>
      <c r="F17" s="17">
        <f>1-(F4/F2)</f>
        <v>0.16340648854961837</v>
      </c>
      <c r="G17" s="17">
        <f>1-(G4/G2)</f>
        <v>0.15788158880839376</v>
      </c>
      <c r="H17" s="17">
        <f>1-(H4/H2)</f>
        <v>0.17456238959370485</v>
      </c>
      <c r="I17" s="17">
        <f>1-(I4/I2)</f>
        <v>0.16222222222222227</v>
      </c>
    </row>
    <row r="18" spans="1:10" ht="21.95" customHeight="1" x14ac:dyDescent="0.25">
      <c r="A18" s="16" t="s">
        <v>12</v>
      </c>
      <c r="B18" s="18">
        <f>B5/B4</f>
        <v>158.3223393194707</v>
      </c>
      <c r="C18" s="18">
        <f>C5/C4</f>
        <v>153.99463371579878</v>
      </c>
      <c r="D18" s="18">
        <f>D5/D4</f>
        <v>163.32133992805754</v>
      </c>
      <c r="E18" s="18">
        <f>E5/E4</f>
        <v>173.84361930294907</v>
      </c>
      <c r="F18" s="18">
        <f>F5/F4</f>
        <v>164.92579412603365</v>
      </c>
      <c r="G18" s="18">
        <f>G5/G4</f>
        <v>163.91196380895877</v>
      </c>
      <c r="H18" s="18">
        <f>H5/H4</f>
        <v>170.3237587548638</v>
      </c>
      <c r="I18" s="18">
        <f>I5/I4</f>
        <v>149.82839901477834</v>
      </c>
    </row>
    <row r="19" spans="1:10" ht="21.95" customHeight="1" x14ac:dyDescent="0.25">
      <c r="A19" s="16" t="s">
        <v>13</v>
      </c>
      <c r="B19" s="19">
        <f>B4/B10</f>
        <v>2.4318764294169702E-2</v>
      </c>
      <c r="C19" s="19">
        <f>C4/C10</f>
        <v>2.5105251495679149E-2</v>
      </c>
      <c r="D19" s="19">
        <f>D4/D10</f>
        <v>2.162610691179712E-2</v>
      </c>
      <c r="E19" s="19">
        <f>E4/E10</f>
        <v>2.2102036748743528E-2</v>
      </c>
      <c r="F19" s="19">
        <f>F4/F10</f>
        <v>1.8969574036511155E-2</v>
      </c>
      <c r="G19" s="19">
        <f>G4/G10</f>
        <v>1.728682488564337E-2</v>
      </c>
      <c r="H19" s="19">
        <f>H4/H10</f>
        <v>2.4095143000454712E-2</v>
      </c>
      <c r="I19" s="19">
        <f>I4/I10</f>
        <v>1.5283444479514451E-2</v>
      </c>
    </row>
    <row r="20" spans="1:10" ht="21.95" customHeight="1" x14ac:dyDescent="0.25">
      <c r="A20" s="20" t="s">
        <v>14</v>
      </c>
      <c r="B20" s="21">
        <f>B5/B13</f>
        <v>9.1446656264808439</v>
      </c>
      <c r="C20" s="21">
        <f>C5/C13</f>
        <v>6.9127504360685395</v>
      </c>
      <c r="D20" s="21">
        <f>D5/D13</f>
        <v>5.8468071886412005</v>
      </c>
      <c r="E20" s="21">
        <f>E5/E13</f>
        <v>6.4708382420100232</v>
      </c>
      <c r="F20" s="21">
        <f>F5/F13</f>
        <v>5.4976100767619309</v>
      </c>
      <c r="G20" s="21">
        <f>G5/G13</f>
        <v>4.1569568079828416</v>
      </c>
      <c r="H20" s="21">
        <f>H5/H13</f>
        <v>6.4776256009807023</v>
      </c>
      <c r="I20" s="21">
        <f>I5/I13</f>
        <v>5.6969802040755457</v>
      </c>
    </row>
    <row r="21" spans="1:10" ht="21.95" customHeight="1" x14ac:dyDescent="0.25">
      <c r="A21" s="22" t="s">
        <v>15</v>
      </c>
      <c r="B21" s="23">
        <f>((B7-(B7*B17))/B6)</f>
        <v>7.6914134476284959</v>
      </c>
      <c r="C21" s="23">
        <f>((C7-(C7*C17))/C6)</f>
        <v>7.6784686788866203</v>
      </c>
      <c r="D21" s="23">
        <f>((D7-(D7*D17))/D6)</f>
        <v>6.2627708591703168</v>
      </c>
      <c r="E21" s="23">
        <f>((E7-(E7*E17))/E6)</f>
        <v>5.7322879054895388</v>
      </c>
      <c r="F21" s="23">
        <f>((F7-(F7*F17))/F6)</f>
        <v>4.8611470222150279</v>
      </c>
      <c r="G21" s="23">
        <f>((G7-(G7*G17))/G6)</f>
        <v>3.3922285316567158</v>
      </c>
      <c r="H21" s="23">
        <f>((H7-(H7*H17))/H6)</f>
        <v>5.6930483661125164</v>
      </c>
      <c r="I21" s="23">
        <f>((I7-(I7*I17))/I6)</f>
        <v>4.5152028316243351</v>
      </c>
      <c r="J21" s="30"/>
    </row>
    <row r="22" spans="1:10" ht="21.95" customHeight="1" x14ac:dyDescent="0.25">
      <c r="A22" s="24" t="s">
        <v>16</v>
      </c>
      <c r="B22" s="25">
        <f>((B9-(B9*B17))/B8)</f>
        <v>10.115457305770752</v>
      </c>
      <c r="C22" s="25">
        <f>((C9-(C9*C17))/C8)</f>
        <v>10.390086319787692</v>
      </c>
      <c r="D22" s="25">
        <f>((D9-(D9*D17))/D8)</f>
        <v>10.633257899599354</v>
      </c>
      <c r="E22" s="25">
        <f>((E9-(E9*E17))/E8)</f>
        <v>10.030430773625586</v>
      </c>
      <c r="F22" s="25">
        <f>((F9-(F9*F17))/F8)</f>
        <v>9.1834420916265476</v>
      </c>
      <c r="G22" s="25">
        <f>((G9-(G9*G17))/G8)</f>
        <v>9.4914379790414714</v>
      </c>
      <c r="H22" s="25">
        <f>((H9-(H9*H17))/H8)</f>
        <v>15.396630915205064</v>
      </c>
      <c r="I22" s="25">
        <f>((I9-(I9*I17))/I8)</f>
        <v>10.971097420163632</v>
      </c>
    </row>
    <row r="23" spans="1:10" ht="21.95" customHeight="1" x14ac:dyDescent="0.25">
      <c r="A23" s="16" t="s">
        <v>17</v>
      </c>
      <c r="B23" s="18">
        <f>B13/B2</f>
        <v>13.483430253956572</v>
      </c>
      <c r="C23" s="18">
        <f>C13/C2</f>
        <v>17.352853214162941</v>
      </c>
      <c r="D23" s="18">
        <f>D13/D4</f>
        <v>27.933423261390885</v>
      </c>
      <c r="E23" s="18">
        <f>E13/E4</f>
        <v>26.865703144040946</v>
      </c>
      <c r="F23" s="18">
        <f>F13/F4</f>
        <v>29.999543769603651</v>
      </c>
      <c r="G23" s="18">
        <f>G13/G4</f>
        <v>39.430759418570155</v>
      </c>
      <c r="H23" s="18">
        <f>H13/H4</f>
        <v>26.294165369649807</v>
      </c>
      <c r="I23" s="18">
        <f>I13/I4</f>
        <v>26.299617279272454</v>
      </c>
    </row>
    <row r="24" spans="1:10" ht="21.95" customHeight="1" x14ac:dyDescent="0.25">
      <c r="A24" s="16" t="s">
        <v>18</v>
      </c>
      <c r="B24" s="18">
        <f>B13/B10</f>
        <v>0.42103274298651899</v>
      </c>
      <c r="C24" s="18">
        <f>C13/C10</f>
        <v>0.55926711721692879</v>
      </c>
      <c r="D24" s="18">
        <f>D13/D10</f>
        <v>0.60409119786331988</v>
      </c>
      <c r="E24" s="18">
        <f>E13/E10</f>
        <v>0.59378675817042748</v>
      </c>
      <c r="F24" s="18">
        <f>F13/F10</f>
        <v>0.56907856659905343</v>
      </c>
      <c r="G24" s="18">
        <f>G13/G10</f>
        <v>0.68163263317675538</v>
      </c>
      <c r="H24" s="18">
        <f>H13/H10</f>
        <v>0.63356167465931623</v>
      </c>
      <c r="I24" s="18">
        <f>I13/I10</f>
        <v>0.40194874052023943</v>
      </c>
    </row>
    <row r="25" spans="1:10" ht="21.95" customHeight="1" x14ac:dyDescent="0.25">
      <c r="A25" s="3"/>
    </row>
    <row r="26" spans="1:10" ht="21.95" customHeight="1" x14ac:dyDescent="0.25">
      <c r="A26" s="46" t="s">
        <v>30</v>
      </c>
      <c r="B26" s="18">
        <f>B5-SUM(B11:B13)-B5*$O$3</f>
        <v>74220.891110000011</v>
      </c>
      <c r="C26" s="18">
        <f>C5-SUM(C11:C13)-C5*$O$3</f>
        <v>66050.986319999996</v>
      </c>
      <c r="D26" s="18">
        <f>D5-SUM(D11:D13)-D5*$O$3</f>
        <v>77920.611270000038</v>
      </c>
      <c r="E26" s="18">
        <f>E5-SUM(E11:E13)-E5*$O$3</f>
        <v>74218.533010000014</v>
      </c>
      <c r="F26" s="18">
        <f>F5-SUM(F11:F13)-F5*$O$3</f>
        <v>70262.43548</v>
      </c>
      <c r="G26" s="18">
        <f>G5-SUM(G11:G13)-G5*$O$3</f>
        <v>41051.021790000013</v>
      </c>
      <c r="H26" s="18">
        <f>H5-SUM(H11:H13)-H5*$O$3</f>
        <v>78277.13675999995</v>
      </c>
      <c r="I26" s="18">
        <f>I5-SUM(I11:I13)-I5*$O$3</f>
        <v>28188.135170000009</v>
      </c>
    </row>
    <row r="27" spans="1:10" ht="21.95" customHeight="1" x14ac:dyDescent="0.25">
      <c r="A27" s="47" t="s">
        <v>31</v>
      </c>
      <c r="B27" s="26">
        <f>B26/B5</f>
        <v>0.22154823916188551</v>
      </c>
      <c r="C27" s="26">
        <f>C26/C5</f>
        <v>0.18928396056028818</v>
      </c>
      <c r="D27" s="26">
        <f>D26/D5</f>
        <v>0.14301558751221627</v>
      </c>
      <c r="E27" s="26">
        <f>E26/E5</f>
        <v>0.10405239809137046</v>
      </c>
      <c r="F27" s="26">
        <f>F26/F5</f>
        <v>0.12147834029478413</v>
      </c>
      <c r="G27" s="26">
        <f>G26/G5</f>
        <v>7.4294140955154214E-2</v>
      </c>
      <c r="H27" s="26">
        <f>H26/H5</f>
        <v>8.9412158615935003E-2</v>
      </c>
      <c r="I27" s="26">
        <f>I26/I5</f>
        <v>3.5645344846888069E-2</v>
      </c>
    </row>
    <row r="28" spans="1:10" ht="21.95" customHeight="1" x14ac:dyDescent="0.25">
      <c r="A28" s="27" t="s">
        <v>32</v>
      </c>
      <c r="B28" s="28">
        <f t="shared" ref="B28:H28" si="2">B26/B13</f>
        <v>2.0259845672710517</v>
      </c>
      <c r="C28" s="28">
        <f t="shared" si="2"/>
        <v>1.3084727809039123</v>
      </c>
      <c r="D28" s="28">
        <f t="shared" si="2"/>
        <v>0.83618456515417072</v>
      </c>
      <c r="E28" s="28">
        <f t="shared" si="2"/>
        <v>0.67330623674249068</v>
      </c>
      <c r="F28" s="28">
        <f t="shared" si="2"/>
        <v>0.66784054771292023</v>
      </c>
      <c r="G28" s="28">
        <f t="shared" si="2"/>
        <v>0.30883753503676514</v>
      </c>
      <c r="H28" s="28">
        <f t="shared" si="2"/>
        <v>0.57917848768952784</v>
      </c>
      <c r="I28" s="28">
        <f>I26/I13</f>
        <v>0.2030708239601676</v>
      </c>
    </row>
    <row r="29" spans="1:10" ht="21.95" customHeight="1" x14ac:dyDescent="0.25">
      <c r="A29" s="3"/>
    </row>
    <row r="30" spans="1:10" ht="21.95" customHeight="1" x14ac:dyDescent="0.25">
      <c r="A30" s="16" t="s">
        <v>33</v>
      </c>
      <c r="B30" s="18">
        <f>B7-SUM(B13:B17)-B7*$O$3</f>
        <v>247988.61909838635</v>
      </c>
      <c r="C30" s="18">
        <f>C7-SUM(C13:C17)-C7*$O$3</f>
        <v>351666.88572580309</v>
      </c>
      <c r="D30" s="18">
        <f>D7-SUM(D13:D17)-D7*$O$3</f>
        <v>486887.4010607946</v>
      </c>
      <c r="E30" s="18">
        <f>E7-SUM(E13:E17)-E7*$O$3</f>
        <v>465087.23168276739</v>
      </c>
      <c r="F30" s="18">
        <f>F7-SUM(F13:F17)-F7*$O$3</f>
        <v>370237.4324918518</v>
      </c>
      <c r="G30" s="18">
        <f>G7-SUM(G13:G17)-G7*$O$3</f>
        <v>307761.86702255212</v>
      </c>
      <c r="H30" s="18">
        <f>H7-SUM(H13:H17)-H7*$O$3</f>
        <v>619738.39915976906</v>
      </c>
      <c r="I30" s="18">
        <f>I26-L4</f>
        <v>13188.135170000009</v>
      </c>
    </row>
    <row r="31" spans="1:10" ht="21.95" customHeight="1" x14ac:dyDescent="0.25">
      <c r="A31" s="16" t="s">
        <v>27</v>
      </c>
      <c r="B31" s="26">
        <f>B30/B7</f>
        <v>0.76063187208647787</v>
      </c>
      <c r="C31" s="26">
        <f>C30/C7</f>
        <v>0.76341488971100968</v>
      </c>
      <c r="D31" s="26">
        <f>D30/D7</f>
        <v>0.73275573168688535</v>
      </c>
      <c r="E31" s="26">
        <f>E30/E7</f>
        <v>0.70573326171322504</v>
      </c>
      <c r="F31" s="26">
        <f>F30/F7</f>
        <v>0.67981804548946256</v>
      </c>
      <c r="G31" s="26">
        <f>G30/G7</f>
        <v>0.60967986716316391</v>
      </c>
      <c r="H31" s="26">
        <f>H30/H7</f>
        <v>0.71670129755809087</v>
      </c>
      <c r="I31" s="26">
        <f>I30/I7</f>
        <v>2.0469425436194684E-2</v>
      </c>
    </row>
    <row r="32" spans="1:10" ht="21.95" customHeight="1" x14ac:dyDescent="0.25">
      <c r="A32" s="27" t="s">
        <v>34</v>
      </c>
      <c r="B32" s="28">
        <f t="shared" ref="B32:H32" si="3">B30/B13</f>
        <v>6.7692681620808139</v>
      </c>
      <c r="C32" s="28">
        <f t="shared" si="3"/>
        <v>6.9665356046035187</v>
      </c>
      <c r="D32" s="28">
        <f t="shared" si="3"/>
        <v>5.2249042082632098</v>
      </c>
      <c r="E32" s="28">
        <f t="shared" si="3"/>
        <v>4.2192444531221671</v>
      </c>
      <c r="F32" s="28">
        <f t="shared" si="3"/>
        <v>3.5190862373332523</v>
      </c>
      <c r="G32" s="28">
        <f t="shared" si="3"/>
        <v>2.3153727299599494</v>
      </c>
      <c r="H32" s="28">
        <f t="shared" si="3"/>
        <v>4.5854915451110863</v>
      </c>
      <c r="I32" s="28">
        <f>I30/I13</f>
        <v>9.500896243467126E-2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mergeCells count="3">
    <mergeCell ref="K2:K3"/>
    <mergeCell ref="K4:K5"/>
    <mergeCell ref="L4:L5"/>
  </mergeCells>
  <conditionalFormatting sqref="B16:I16">
    <cfRule type="cellIs" dxfId="9" priority="11" operator="greaterThan">
      <formula>0.2</formula>
    </cfRule>
  </conditionalFormatting>
  <conditionalFormatting sqref="B16:I17">
    <cfRule type="cellIs" dxfId="8" priority="9" operator="greaterThan">
      <formula>"20%"</formula>
    </cfRule>
  </conditionalFormatting>
  <conditionalFormatting sqref="B17:I17">
    <cfRule type="cellIs" dxfId="7" priority="10" operator="greaterThan">
      <formula>0.2</formula>
    </cfRule>
  </conditionalFormatting>
  <conditionalFormatting sqref="B18:I18">
    <cfRule type="cellIs" dxfId="6" priority="12" operator="lessThan">
      <formula>100</formula>
    </cfRule>
  </conditionalFormatting>
  <conditionalFormatting sqref="A30:XFD31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A26:I26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A27:I27">
    <cfRule type="cellIs" dxfId="1" priority="1" operator="lessThan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2025-04-24T12:51:49Z</dcterms:created>
  <dcterms:modified xsi:type="dcterms:W3CDTF">2025-04-24T13:24:52Z</dcterms:modified>
</cp:coreProperties>
</file>